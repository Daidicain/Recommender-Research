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ewan-my.sharepoint.com/personal/strommes_mymacewan_ca/Documents/School/Recommender Research/Experiments/"/>
    </mc:Choice>
  </mc:AlternateContent>
  <xr:revisionPtr revIDLastSave="80" documentId="8_{CDFA4B67-72EE-4C11-A481-E3A18766CA13}" xr6:coauthVersionLast="47" xr6:coauthVersionMax="47" xr10:uidLastSave="{DCC3FFB0-8160-4F9F-94D9-4710B91C4B2E}"/>
  <bookViews>
    <workbookView xWindow="-110" yWindow="-110" windowWidth="19420" windowHeight="10300" xr2:uid="{7292B30D-0B8D-4F92-BF01-A807DE06588F}"/>
  </bookViews>
  <sheets>
    <sheet name="Sheet1" sheetId="1" r:id="rId1"/>
  </sheets>
  <definedNames>
    <definedName name="A">Sheet1!$B$3:$D$11</definedName>
    <definedName name="accuracy">Sheet1!$E$3:$E$11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 a="1"/>
  <c r="D52" i="1" s="1"/>
  <c r="D65" i="1" s="1"/>
  <c r="B54" i="1"/>
  <c r="B57" i="1" s="1"/>
  <c r="B53" i="1"/>
  <c r="B56" i="1" s="1"/>
  <c r="B62" i="1" s="1"/>
  <c r="B52" i="1"/>
  <c r="A54" i="1"/>
  <c r="A53" i="1"/>
  <c r="A52" i="1"/>
  <c r="A56" i="1" s="1"/>
  <c r="A30" i="1"/>
  <c r="A31" i="1" s="1"/>
  <c r="C3" i="1"/>
  <c r="B3" i="1" s="1"/>
  <c r="A4" i="1"/>
  <c r="C4" i="1" s="1"/>
  <c r="D57" i="1" l="1"/>
  <c r="D56" i="1"/>
  <c r="D62" i="1" s="1"/>
  <c r="A57" i="1"/>
  <c r="A59" i="1" s="1"/>
  <c r="D59" i="1"/>
  <c r="B60" i="1" s="1"/>
  <c r="B59" i="1"/>
  <c r="A32" i="1"/>
  <c r="B4" i="1"/>
  <c r="A5" i="1"/>
  <c r="C5" i="1" s="1"/>
  <c r="A62" i="1" l="1"/>
  <c r="B63" i="1" s="1"/>
  <c r="A65" i="1"/>
  <c r="A33" i="1"/>
  <c r="A6" i="1"/>
  <c r="C6" i="1" s="1"/>
  <c r="B65" i="1" l="1"/>
  <c r="B68" i="1"/>
  <c r="B66" i="1"/>
  <c r="C47" i="1" s="1"/>
  <c r="C68" i="1"/>
  <c r="C48" i="1"/>
  <c r="A34" i="1"/>
  <c r="B5" i="1"/>
  <c r="A7" i="1"/>
  <c r="C7" i="1" s="1"/>
  <c r="B6" i="1"/>
  <c r="C49" i="1" l="1"/>
  <c r="A35" i="1"/>
  <c r="A8" i="1"/>
  <c r="C8" i="1" s="1"/>
  <c r="B7" i="1"/>
  <c r="A36" i="1" l="1"/>
  <c r="A9" i="1"/>
  <c r="C9" i="1" s="1"/>
  <c r="A37" i="1" l="1"/>
  <c r="B8" i="1"/>
  <c r="A10" i="1"/>
  <c r="C10" i="1" s="1"/>
  <c r="B9" i="1"/>
  <c r="I28" i="1" l="1" a="1"/>
  <c r="I28" i="1" s="1"/>
  <c r="L36" i="1" a="1"/>
  <c r="L36" i="1" s="1"/>
  <c r="A11" i="1"/>
  <c r="B10" i="1"/>
  <c r="C11" i="1" l="1"/>
  <c r="B11" i="1" s="1"/>
  <c r="I31" i="1"/>
  <c r="I2" i="1" l="1" a="1"/>
  <c r="I2" i="1" s="1"/>
  <c r="I6" i="1" s="1"/>
  <c r="I8" i="1" s="1"/>
  <c r="K8" i="1" s="1"/>
  <c r="M15" i="1" a="1"/>
  <c r="M15" i="1" s="1"/>
  <c r="I32" i="1"/>
  <c r="J32" i="1" s="1"/>
  <c r="J34" i="1" s="1"/>
  <c r="J37" i="1" s="1"/>
  <c r="I7" i="1" l="1"/>
  <c r="K7" i="1" s="1"/>
  <c r="I36" i="1" a="1"/>
  <c r="J7" i="1" l="1"/>
  <c r="J10" i="1" s="1"/>
  <c r="I15" i="1" a="1"/>
  <c r="I15" i="1" s="1"/>
  <c r="O15" i="1" s="1"/>
  <c r="J8" i="1"/>
  <c r="I36" i="1"/>
  <c r="J11" i="1" l="1"/>
  <c r="N36" i="1"/>
  <c r="N37" i="1" s="1"/>
  <c r="L39" i="1" s="1" a="1"/>
  <c r="I39" i="1" a="1"/>
  <c r="I39" i="1" s="1"/>
  <c r="I42" i="1" s="1" a="1"/>
  <c r="I42" i="1" s="1"/>
  <c r="K11" i="1" l="1"/>
  <c r="K13" i="1" s="1"/>
  <c r="K17" i="1" s="1"/>
  <c r="J16" i="1" a="1"/>
  <c r="L39" i="1"/>
  <c r="N39" i="1" s="1"/>
  <c r="D29" i="1" s="1" a="1"/>
  <c r="D29" i="1" s="1"/>
  <c r="N40" i="1"/>
  <c r="O17" i="1" l="1"/>
  <c r="J16" i="1"/>
  <c r="O16" i="1" l="1"/>
  <c r="M19" i="1" s="1" a="1"/>
  <c r="I19" i="1" a="1"/>
  <c r="I19" i="1" s="1"/>
  <c r="I23" i="1" s="1" a="1"/>
  <c r="I23" i="1" s="1"/>
  <c r="O21" i="1" l="1"/>
  <c r="O20" i="1" s="1"/>
  <c r="M19" i="1"/>
  <c r="O19" i="1" s="1"/>
  <c r="F3" i="1" s="1" a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<sst xmlns="http://schemas.openxmlformats.org/spreadsheetml/2006/main" count="41" uniqueCount="26">
  <si>
    <t>x</t>
  </si>
  <si>
    <t>c</t>
  </si>
  <si>
    <t>accuracy</t>
  </si>
  <si>
    <t>k=1</t>
  </si>
  <si>
    <t>k=3</t>
  </si>
  <si>
    <t>k=2</t>
  </si>
  <si>
    <t>L</t>
  </si>
  <si>
    <t>U</t>
  </si>
  <si>
    <t>check</t>
  </si>
  <si>
    <t>z1</t>
  </si>
  <si>
    <t>z2</t>
  </si>
  <si>
    <t>z3</t>
  </si>
  <si>
    <t>y1</t>
  </si>
  <si>
    <t>y2</t>
  </si>
  <si>
    <t>y3</t>
  </si>
  <si>
    <t>Matrix ATA</t>
  </si>
  <si>
    <t>predicted accuracy</t>
  </si>
  <si>
    <t>log(x)^2</t>
  </si>
  <si>
    <t>log(x)</t>
  </si>
  <si>
    <t>matrix ATA</t>
  </si>
  <si>
    <t>a=</t>
  </si>
  <si>
    <t>b =</t>
  </si>
  <si>
    <t>c=</t>
  </si>
  <si>
    <t>x=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</si>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</sst>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Sheet1!$C$28</c:f>
              <c:strCache>
                <c:ptCount val="1"/>
                <c:pt idx="0">
                  <c:v>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Sheet1!$A$29:$A$37</c:f>
              <c:numCache>
                <c:formatCode>General</c:formatCode>
                <c:ptCount val="9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  <c:pt idx="8">
                  <c:v>1000000000</c:v>
                </c:pt>
              </c:numCache>
            </c:numRef>
          </c:xVal>
          <c:yVal>
            <c:numRef>
              <c:f>Sheet1!$C$29:$C$37</c:f>
              <c:numCache>
                <c:formatCode>General</c:formatCode>
                <c:ptCount val="9"/>
                <c:pt idx="0">
                  <c:v>26.189834000000001</c:v>
                </c:pt>
                <c:pt idx="1">
                  <c:v>27.813972</c:v>
                </c:pt>
                <c:pt idx="2">
                  <c:v>29.956429</c:v>
                </c:pt>
                <c:pt idx="3">
                  <c:v>28.058712</c:v>
                </c:pt>
                <c:pt idx="4">
                  <c:v>27.812494000000001</c:v>
                </c:pt>
                <c:pt idx="5">
                  <c:v>27.666967</c:v>
                </c:pt>
                <c:pt idx="6">
                  <c:v>27.531870999999999</c:v>
                </c:pt>
                <c:pt idx="7">
                  <c:v>27.442793999999999</c:v>
                </c:pt>
                <c:pt idx="8">
                  <c:v>27.442793999999999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AB-489B-B531-E8FAF4FE9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663663"/>
        <c:axId val="606664623"/>
      </c:scatterChart>
      <c:valAx>
        <c:axId val="60666366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64623"/>
        <c:crosses val="autoZero"/>
        <c:crossBetween val="midCat"/>
      </c:valAx>
      <c:valAx>
        <c:axId val="60666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6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105661</xdr:colOff>
      <xdr:row>20</xdr:row>
      <xdr:rowOff>36181</xdr:rowOff>
    </xdr:from>
    <xdr:to>
      <xdr:col>25</xdr:col>
      <xdr:colOff>429511</xdr:colOff>
      <xdr:row>35</xdr:row>
      <xdr:rowOff>17130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A4A96-7D94-16CC-FD06-06F42A3EC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EDF1-24A6-4320-8748-F1ACC742ACCE}">
  <dimension ref="A2:O68"/>
  <sheetViews>
    <sheetView tabSelected="1" topLeftCell="A47" zoomScale="86" workbookViewId="0">
      <selection activeCell="B68" sqref="B68"/>
    </sheetView>
  </sheetViews>
  <sheetFormatPr defaultRowHeight="14.5" x14ac:dyDescent="0.35"/>
  <cols>
    <col min="1" max="1" width="18.453125" customWidth="1"/>
    <col min="2" max="2" width="13.1796875" bestFit="1" customWidth="1"/>
    <col min="3" max="3" width="14.81640625" customWidth="1"/>
    <col min="4" max="4" width="8.81640625" bestFit="1" customWidth="1"/>
    <col min="5" max="5" width="12.7265625" bestFit="1" customWidth="1"/>
    <col min="6" max="6" width="23" customWidth="1"/>
    <col min="7" max="7" width="12.7265625" customWidth="1"/>
    <col min="8" max="8" width="12.7265625" bestFit="1" customWidth="1"/>
    <col min="9" max="10" width="12.08984375" bestFit="1" customWidth="1"/>
    <col min="11" max="11" width="10.08984375" bestFit="1" customWidth="1"/>
    <col min="12" max="12" width="12.54296875" bestFit="1" customWidth="1"/>
    <col min="13" max="13" width="14" customWidth="1"/>
    <col min="14" max="14" width="12.1796875" bestFit="1" customWidth="1"/>
    <col min="15" max="15" width="12.81640625" bestFit="1" customWidth="1"/>
  </cols>
  <sheetData>
    <row r="2" spans="1:15" x14ac:dyDescent="0.35">
      <c r="A2" t="s">
        <v>0</v>
      </c>
      <c r="B2" t="s">
        <v>17</v>
      </c>
      <c r="C2" t="s">
        <v>18</v>
      </c>
      <c r="D2" t="s">
        <v>1</v>
      </c>
      <c r="E2" t="s">
        <v>2</v>
      </c>
      <c r="F2" t="s">
        <v>16</v>
      </c>
      <c r="H2" t="s">
        <v>15</v>
      </c>
      <c r="I2" cm="1">
        <f t="array" ref="I2:K4">MMULT(TRANSPOSE(A),A)</f>
        <v>15333</v>
      </c>
      <c r="J2">
        <v>2025</v>
      </c>
      <c r="K2">
        <v>285</v>
      </c>
    </row>
    <row r="3" spans="1:15" x14ac:dyDescent="0.35">
      <c r="A3">
        <v>10</v>
      </c>
      <c r="B3">
        <f>C3*C3</f>
        <v>1</v>
      </c>
      <c r="C3">
        <f>LOG(A3)</f>
        <v>1</v>
      </c>
      <c r="D3">
        <v>1</v>
      </c>
      <c r="E3">
        <v>26.189834000000001</v>
      </c>
      <c r="F3" cm="1">
        <f t="array" ref="F3:F11">MMULT(B3:D11,O19:O21)</f>
        <v>-26371.85716313844</v>
      </c>
      <c r="I3">
        <v>2025</v>
      </c>
      <c r="J3">
        <v>285</v>
      </c>
      <c r="K3">
        <v>45</v>
      </c>
    </row>
    <row r="4" spans="1:15" x14ac:dyDescent="0.35">
      <c r="A4">
        <f>A3*10</f>
        <v>100</v>
      </c>
      <c r="B4">
        <f t="shared" ref="B4:B11" si="0">C4*C4</f>
        <v>4</v>
      </c>
      <c r="C4">
        <f t="shared" ref="C4:C11" si="1">LOG(A4)</f>
        <v>2</v>
      </c>
      <c r="D4">
        <v>1</v>
      </c>
      <c r="E4">
        <v>27.813972</v>
      </c>
      <c r="F4">
        <v>-20720.900336969135</v>
      </c>
      <c r="I4">
        <v>285</v>
      </c>
      <c r="J4">
        <v>45</v>
      </c>
      <c r="K4">
        <v>9</v>
      </c>
    </row>
    <row r="5" spans="1:15" x14ac:dyDescent="0.35">
      <c r="A5">
        <f t="shared" ref="A5:A11" si="2">A4*10</f>
        <v>1000</v>
      </c>
      <c r="B5">
        <f t="shared" si="0"/>
        <v>9</v>
      </c>
      <c r="C5">
        <f t="shared" si="1"/>
        <v>3</v>
      </c>
      <c r="D5">
        <v>1</v>
      </c>
      <c r="E5">
        <v>29.956429</v>
      </c>
      <c r="F5">
        <v>-15539.78681627279</v>
      </c>
    </row>
    <row r="6" spans="1:15" x14ac:dyDescent="0.35">
      <c r="A6">
        <f t="shared" si="2"/>
        <v>10000</v>
      </c>
      <c r="B6">
        <f t="shared" si="0"/>
        <v>16</v>
      </c>
      <c r="C6">
        <f t="shared" si="1"/>
        <v>4</v>
      </c>
      <c r="D6">
        <v>1</v>
      </c>
      <c r="E6">
        <v>28.058712</v>
      </c>
      <c r="F6">
        <v>-10828.516601049403</v>
      </c>
      <c r="H6" t="s">
        <v>3</v>
      </c>
      <c r="I6">
        <f>SQRT(I2)</f>
        <v>123.82649151130786</v>
      </c>
    </row>
    <row r="7" spans="1:15" x14ac:dyDescent="0.35">
      <c r="A7">
        <f t="shared" si="2"/>
        <v>100000</v>
      </c>
      <c r="B7">
        <f t="shared" si="0"/>
        <v>25</v>
      </c>
      <c r="C7">
        <f t="shared" si="1"/>
        <v>5</v>
      </c>
      <c r="D7">
        <v>1</v>
      </c>
      <c r="E7">
        <v>27.812494000000001</v>
      </c>
      <c r="F7">
        <v>-6587.0896912989847</v>
      </c>
      <c r="I7">
        <f>I3/I6</f>
        <v>16.353528031722327</v>
      </c>
      <c r="J7">
        <f>J3-I7*I7</f>
        <v>17.562120915672097</v>
      </c>
      <c r="K7">
        <f>K3-I7*I8</f>
        <v>7.3605947955390292</v>
      </c>
    </row>
    <row r="8" spans="1:15" x14ac:dyDescent="0.35">
      <c r="A8">
        <f t="shared" si="2"/>
        <v>1000000</v>
      </c>
      <c r="B8">
        <f t="shared" si="0"/>
        <v>36</v>
      </c>
      <c r="C8">
        <f t="shared" si="1"/>
        <v>6</v>
      </c>
      <c r="D8">
        <v>1</v>
      </c>
      <c r="E8">
        <v>27.666967</v>
      </c>
      <c r="F8">
        <v>-2815.5060870215311</v>
      </c>
      <c r="I8">
        <f>I4/I6</f>
        <v>2.3016076489090684</v>
      </c>
      <c r="J8">
        <f>J4-I8*I7</f>
        <v>7.3605947955390292</v>
      </c>
      <c r="K8">
        <f>K4-I8*I8</f>
        <v>3.7026022304832704</v>
      </c>
    </row>
    <row r="9" spans="1:15" x14ac:dyDescent="0.35">
      <c r="A9">
        <f t="shared" si="2"/>
        <v>10000000</v>
      </c>
      <c r="B9">
        <f t="shared" si="0"/>
        <v>49</v>
      </c>
      <c r="C9">
        <f t="shared" si="1"/>
        <v>7</v>
      </c>
      <c r="D9">
        <v>1</v>
      </c>
      <c r="E9">
        <v>27.531870999999999</v>
      </c>
      <c r="F9">
        <v>486.23421178296849</v>
      </c>
    </row>
    <row r="10" spans="1:15" x14ac:dyDescent="0.35">
      <c r="A10">
        <f t="shared" si="2"/>
        <v>100000000</v>
      </c>
      <c r="B10">
        <f t="shared" si="0"/>
        <v>64</v>
      </c>
      <c r="C10">
        <f t="shared" si="1"/>
        <v>8</v>
      </c>
      <c r="D10">
        <v>1</v>
      </c>
      <c r="E10">
        <v>27.442793999999999</v>
      </c>
      <c r="F10">
        <v>3318.1312051144923</v>
      </c>
      <c r="H10" t="s">
        <v>5</v>
      </c>
      <c r="J10">
        <f>SQRT(J7)</f>
        <v>4.1907184247658655</v>
      </c>
    </row>
    <row r="11" spans="1:15" x14ac:dyDescent="0.35">
      <c r="A11">
        <f t="shared" si="2"/>
        <v>1000000000</v>
      </c>
      <c r="B11">
        <f t="shared" si="0"/>
        <v>81</v>
      </c>
      <c r="C11">
        <f t="shared" si="1"/>
        <v>9</v>
      </c>
      <c r="D11">
        <v>1</v>
      </c>
      <c r="E11">
        <v>27.442793999999999</v>
      </c>
      <c r="F11">
        <v>5680.1848929730622</v>
      </c>
      <c r="J11">
        <f>J8/J10</f>
        <v>1.7564040456739261</v>
      </c>
      <c r="K11">
        <f>K8-J11*J11</f>
        <v>0.61764705882353566</v>
      </c>
    </row>
    <row r="13" spans="1:15" x14ac:dyDescent="0.35">
      <c r="H13" t="s">
        <v>4</v>
      </c>
      <c r="K13">
        <f>SQRT(K11)</f>
        <v>0.78590524799337969</v>
      </c>
    </row>
    <row r="15" spans="1:15" x14ac:dyDescent="0.35">
      <c r="H15" t="s">
        <v>6</v>
      </c>
      <c r="I15" cm="1">
        <f t="array" ref="I15:I17">I6:I8</f>
        <v>123.82649151130786</v>
      </c>
      <c r="J15">
        <v>0</v>
      </c>
      <c r="K15">
        <v>0</v>
      </c>
      <c r="M15" cm="1">
        <f t="array" ref="M15:M17">MMULT(TRANSPOSE(A),accuracy)</f>
        <v>7875.5829459999995</v>
      </c>
      <c r="N15" t="s">
        <v>9</v>
      </c>
      <c r="O15">
        <f>M15/I15</f>
        <v>63.601761221513726</v>
      </c>
    </row>
    <row r="16" spans="1:15" x14ac:dyDescent="0.35">
      <c r="I16">
        <v>16.353528031722327</v>
      </c>
      <c r="J16" cm="1">
        <f t="array" ref="J16:J17">J10:J11</f>
        <v>4.1907184247658655</v>
      </c>
      <c r="K16">
        <v>0</v>
      </c>
      <c r="M16">
        <v>1248.23678</v>
      </c>
      <c r="N16" t="s">
        <v>10</v>
      </c>
      <c r="O16">
        <f>(M16-I16*M15)/J16</f>
        <v>-30435.194342767427</v>
      </c>
    </row>
    <row r="17" spans="1:15" x14ac:dyDescent="0.35">
      <c r="I17">
        <v>2.3016076489090684</v>
      </c>
      <c r="J17">
        <v>1.7564040456739261</v>
      </c>
      <c r="K17">
        <f>K13</f>
        <v>0.78590524799337969</v>
      </c>
      <c r="M17">
        <v>249.91586699999996</v>
      </c>
      <c r="N17" t="s">
        <v>11</v>
      </c>
      <c r="O17">
        <f>(M17-I17*M15-J17*M16)/K17</f>
        <v>-25536.149889218534</v>
      </c>
    </row>
    <row r="19" spans="1:15" x14ac:dyDescent="0.35">
      <c r="H19" t="s">
        <v>7</v>
      </c>
      <c r="I19" cm="1">
        <f t="array" ref="I19:K21">TRANSPOSE(I15:K17)</f>
        <v>123.82649151130786</v>
      </c>
      <c r="J19">
        <v>16.353528031722327</v>
      </c>
      <c r="K19">
        <v>2.3016076489090684</v>
      </c>
      <c r="M19" cm="1">
        <f t="array" ref="M19:M21">O15:O17</f>
        <v>63.601761221513726</v>
      </c>
      <c r="N19" t="s">
        <v>12</v>
      </c>
      <c r="O19">
        <f>(M19-K19*O21-J19*O20)/I19</f>
        <v>-234.9216527364816</v>
      </c>
    </row>
    <row r="20" spans="1:15" x14ac:dyDescent="0.35">
      <c r="I20">
        <v>0</v>
      </c>
      <c r="J20">
        <v>4.1907184247658655</v>
      </c>
      <c r="K20">
        <v>1.7564040456739261</v>
      </c>
      <c r="M20">
        <v>-30435.194342767427</v>
      </c>
      <c r="N20" t="s">
        <v>13</v>
      </c>
      <c r="O20">
        <f>(M20-K20*O21)/J20</f>
        <v>6355.7217843787539</v>
      </c>
    </row>
    <row r="21" spans="1:15" x14ac:dyDescent="0.35">
      <c r="I21">
        <v>0</v>
      </c>
      <c r="J21">
        <v>0</v>
      </c>
      <c r="K21">
        <v>0.78590524799337969</v>
      </c>
      <c r="M21">
        <v>-25536.149889218534</v>
      </c>
      <c r="N21" t="s">
        <v>14</v>
      </c>
      <c r="O21">
        <f>M21/K21</f>
        <v>-32492.657294780714</v>
      </c>
    </row>
    <row r="23" spans="1:15" x14ac:dyDescent="0.35">
      <c r="H23" t="s">
        <v>8</v>
      </c>
      <c r="I23" cm="1">
        <f t="array" ref="I23:K25">MMULT(I15:K17,_xlfn.ANCHORARRAY(I19))</f>
        <v>15332.999999999998</v>
      </c>
      <c r="J23">
        <v>2025</v>
      </c>
      <c r="K23">
        <v>285</v>
      </c>
    </row>
    <row r="24" spans="1:15" x14ac:dyDescent="0.35">
      <c r="I24">
        <v>2025</v>
      </c>
      <c r="J24">
        <v>285</v>
      </c>
      <c r="K24">
        <v>45</v>
      </c>
    </row>
    <row r="25" spans="1:15" x14ac:dyDescent="0.35">
      <c r="I25">
        <v>285</v>
      </c>
      <c r="J25">
        <v>45</v>
      </c>
      <c r="K25">
        <v>9</v>
      </c>
    </row>
    <row r="28" spans="1:15" x14ac:dyDescent="0.35">
      <c r="A28" t="s">
        <v>0</v>
      </c>
      <c r="B28" t="s">
        <v>1</v>
      </c>
      <c r="C28" t="s">
        <v>2</v>
      </c>
      <c r="D28" t="s">
        <v>16</v>
      </c>
      <c r="H28" t="s">
        <v>19</v>
      </c>
      <c r="I28" cm="1">
        <f t="array" ref="I28:J29">MMULT(TRANSPOSE(A29:B37),A29:B37)</f>
        <v>1.01010101010101E+18</v>
      </c>
      <c r="J28">
        <v>1111111110</v>
      </c>
    </row>
    <row r="29" spans="1:15" x14ac:dyDescent="0.35">
      <c r="A29">
        <v>10</v>
      </c>
      <c r="B29">
        <v>1</v>
      </c>
      <c r="C29">
        <v>26.189834000000001</v>
      </c>
      <c r="D29" cm="1">
        <f t="array" ref="D29:D37">MMULT(A29:B37,N39:N40)</f>
        <v>27.819436290575254</v>
      </c>
      <c r="I29">
        <v>1111111110</v>
      </c>
      <c r="J29">
        <v>9</v>
      </c>
    </row>
    <row r="30" spans="1:15" x14ac:dyDescent="0.35">
      <c r="A30">
        <f>A29*10</f>
        <v>100</v>
      </c>
      <c r="B30">
        <v>1</v>
      </c>
      <c r="C30">
        <v>27.813972</v>
      </c>
      <c r="D30">
        <v>27.819431326629722</v>
      </c>
    </row>
    <row r="31" spans="1:15" x14ac:dyDescent="0.35">
      <c r="A31">
        <f t="shared" ref="A31:A37" si="3">A30*10</f>
        <v>1000</v>
      </c>
      <c r="B31">
        <v>1</v>
      </c>
      <c r="C31">
        <v>29.956429</v>
      </c>
      <c r="D31">
        <v>27.819381687174396</v>
      </c>
      <c r="H31" t="s">
        <v>3</v>
      </c>
      <c r="I31">
        <f>SQRT(I28)</f>
        <v>1005037815.259212</v>
      </c>
    </row>
    <row r="32" spans="1:15" x14ac:dyDescent="0.35">
      <c r="A32">
        <f t="shared" si="3"/>
        <v>10000</v>
      </c>
      <c r="B32">
        <v>1</v>
      </c>
      <c r="C32">
        <v>28.058712</v>
      </c>
      <c r="D32">
        <v>27.818885292621115</v>
      </c>
      <c r="I32">
        <f>I29/I31</f>
        <v>1.1055415956795918</v>
      </c>
      <c r="J32">
        <f>J29-I32*I32</f>
        <v>7.7777777802222223</v>
      </c>
    </row>
    <row r="33" spans="1:14" x14ac:dyDescent="0.35">
      <c r="A33">
        <f t="shared" si="3"/>
        <v>100000</v>
      </c>
      <c r="B33">
        <v>1</v>
      </c>
      <c r="C33">
        <v>27.812494000000001</v>
      </c>
      <c r="D33">
        <v>27.813921347088314</v>
      </c>
    </row>
    <row r="34" spans="1:14" x14ac:dyDescent="0.35">
      <c r="A34">
        <f t="shared" si="3"/>
        <v>1000000</v>
      </c>
      <c r="B34">
        <v>1</v>
      </c>
      <c r="C34">
        <v>27.666967</v>
      </c>
      <c r="D34">
        <v>27.764281891760319</v>
      </c>
      <c r="H34" t="s">
        <v>5</v>
      </c>
      <c r="J34">
        <f>SQRT(J32)</f>
        <v>2.7888667555518358</v>
      </c>
    </row>
    <row r="35" spans="1:14" x14ac:dyDescent="0.35">
      <c r="A35">
        <f t="shared" si="3"/>
        <v>10000000</v>
      </c>
      <c r="B35">
        <v>1</v>
      </c>
      <c r="C35">
        <v>27.531870999999999</v>
      </c>
      <c r="D35">
        <v>27.267887338480378</v>
      </c>
    </row>
    <row r="36" spans="1:14" x14ac:dyDescent="0.35">
      <c r="A36">
        <f t="shared" si="3"/>
        <v>100000000</v>
      </c>
      <c r="B36">
        <v>1</v>
      </c>
      <c r="C36">
        <v>27.442793999999999</v>
      </c>
      <c r="D36">
        <v>22.30394180568096</v>
      </c>
      <c r="H36" t="s">
        <v>6</v>
      </c>
      <c r="I36" cm="1">
        <f t="array" ref="I36:I37">I31:I32</f>
        <v>1005037815.259212</v>
      </c>
      <c r="J36">
        <v>0</v>
      </c>
      <c r="L36" cm="1">
        <f t="array" ref="L36:L37">MMULT(TRANSPOSE(A29:B37),C29:C37)</f>
        <v>30493153913.244541</v>
      </c>
      <c r="M36" t="s">
        <v>9</v>
      </c>
      <c r="N36">
        <f>L36/I36</f>
        <v>30.340305061436887</v>
      </c>
    </row>
    <row r="37" spans="1:14" x14ac:dyDescent="0.35">
      <c r="A37">
        <f t="shared" si="3"/>
        <v>1000000000</v>
      </c>
      <c r="B37">
        <v>1</v>
      </c>
      <c r="C37">
        <v>27.442793999999999</v>
      </c>
      <c r="D37">
        <v>-27.335513522313228</v>
      </c>
      <c r="I37">
        <v>1.1055415956795918</v>
      </c>
      <c r="J37">
        <f>J34</f>
        <v>2.7888667555518358</v>
      </c>
      <c r="L37">
        <v>249.91586699999996</v>
      </c>
      <c r="M37" t="s">
        <v>10</v>
      </c>
      <c r="N37">
        <f>(L37-I37*N36)/J37</f>
        <v>77.584702567175682</v>
      </c>
    </row>
    <row r="39" spans="1:14" x14ac:dyDescent="0.35">
      <c r="H39" t="s">
        <v>7</v>
      </c>
      <c r="I39" cm="1">
        <f t="array" ref="I39:J40">TRANSPOSE(I36:J37)</f>
        <v>1005037815.259212</v>
      </c>
      <c r="J39">
        <v>1.1055415956795918</v>
      </c>
      <c r="L39" cm="1">
        <f t="array" ref="L39:L40">N36:N37</f>
        <v>30.340305061436887</v>
      </c>
      <c r="M39" t="s">
        <v>12</v>
      </c>
      <c r="N39">
        <f>(L39-L40*J39)/I39</f>
        <v>-5.5154950364437987E-8</v>
      </c>
    </row>
    <row r="40" spans="1:14" x14ac:dyDescent="0.35">
      <c r="I40">
        <v>0</v>
      </c>
      <c r="J40">
        <v>2.7888667555518358</v>
      </c>
      <c r="L40">
        <v>77.584702567175682</v>
      </c>
      <c r="M40" t="s">
        <v>13</v>
      </c>
      <c r="N40">
        <f>L40/J40</f>
        <v>27.819436842124759</v>
      </c>
    </row>
    <row r="42" spans="1:14" x14ac:dyDescent="0.35">
      <c r="H42" t="s">
        <v>8</v>
      </c>
      <c r="I42" cm="1">
        <f t="array" ref="I42:J43">MMULT(I36:J37,_xlfn.ANCHORARRAY(I39))</f>
        <v>1.0101010101010099E+18</v>
      </c>
      <c r="J42">
        <v>1111111110</v>
      </c>
    </row>
    <row r="43" spans="1:14" x14ac:dyDescent="0.35">
      <c r="I43">
        <v>1111111110</v>
      </c>
      <c r="J43">
        <v>9.0000000000000018</v>
      </c>
    </row>
    <row r="46" spans="1:14" x14ac:dyDescent="0.35">
      <c r="A46" t="s">
        <v>0</v>
      </c>
    </row>
    <row r="47" spans="1:14" x14ac:dyDescent="0.35">
      <c r="A47">
        <v>100</v>
      </c>
      <c r="B47">
        <v>27.813972</v>
      </c>
      <c r="C47">
        <f>(A47*A47)*$B$60+A47*$B$63+$B$66</f>
        <v>27.813971999999996</v>
      </c>
    </row>
    <row r="48" spans="1:14" x14ac:dyDescent="0.35">
      <c r="A48">
        <v>1000</v>
      </c>
      <c r="B48">
        <v>29.956429</v>
      </c>
      <c r="C48">
        <f>(A48*A48)*$B$60+A48*$B$63+$B$66</f>
        <v>29.956428999999996</v>
      </c>
    </row>
    <row r="49" spans="1:4" x14ac:dyDescent="0.35">
      <c r="A49">
        <v>10000</v>
      </c>
      <c r="B49">
        <v>28.058712</v>
      </c>
      <c r="C49">
        <f>(A49*A49)*$B$60+A49*$B$63+$B$66</f>
        <v>28.058711999999993</v>
      </c>
    </row>
    <row r="51" spans="1:4" x14ac:dyDescent="0.35">
      <c r="A51" t="s">
        <v>24</v>
      </c>
      <c r="B51" t="s">
        <v>25</v>
      </c>
      <c r="C51" t="s">
        <v>1</v>
      </c>
    </row>
    <row r="52" spans="1:4" x14ac:dyDescent="0.35">
      <c r="A52">
        <f>A47*A47</f>
        <v>10000</v>
      </c>
      <c r="B52">
        <f>A47</f>
        <v>100</v>
      </c>
      <c r="C52">
        <v>1</v>
      </c>
      <c r="D52" cm="1">
        <f t="array" ref="D52:D54">B47:B49</f>
        <v>27.813972</v>
      </c>
    </row>
    <row r="53" spans="1:4" x14ac:dyDescent="0.35">
      <c r="A53">
        <f>A48*A48</f>
        <v>1000000</v>
      </c>
      <c r="B53">
        <f>A48</f>
        <v>1000</v>
      </c>
      <c r="C53">
        <v>1</v>
      </c>
      <c r="D53">
        <v>29.956429</v>
      </c>
    </row>
    <row r="54" spans="1:4" x14ac:dyDescent="0.35">
      <c r="A54">
        <f t="shared" ref="A54" si="4">A49*A49</f>
        <v>100000000</v>
      </c>
      <c r="B54">
        <f t="shared" ref="B54" si="5">A49</f>
        <v>10000</v>
      </c>
      <c r="C54">
        <v>1</v>
      </c>
      <c r="D54">
        <v>28.058712</v>
      </c>
    </row>
    <row r="56" spans="1:4" x14ac:dyDescent="0.35">
      <c r="A56">
        <f>A53-A52</f>
        <v>990000</v>
      </c>
      <c r="B56">
        <f>B53-B52</f>
        <v>900</v>
      </c>
      <c r="C56">
        <v>0</v>
      </c>
      <c r="D56">
        <f>D53-D52</f>
        <v>2.1424570000000003</v>
      </c>
    </row>
    <row r="57" spans="1:4" x14ac:dyDescent="0.35">
      <c r="A57">
        <f>A54-A52</f>
        <v>99990000</v>
      </c>
      <c r="B57">
        <f>B54-B52</f>
        <v>9900</v>
      </c>
      <c r="C57">
        <v>0</v>
      </c>
      <c r="D57">
        <f>D54-D52</f>
        <v>0.24474000000000018</v>
      </c>
    </row>
    <row r="59" spans="1:4" x14ac:dyDescent="0.35">
      <c r="A59">
        <f>A57-(B57/B56)*A56</f>
        <v>89100000</v>
      </c>
      <c r="B59">
        <f>B57-B56*(B57/B56)</f>
        <v>0</v>
      </c>
      <c r="C59">
        <v>0</v>
      </c>
      <c r="D59">
        <f>D57-D56*(B57/B56)</f>
        <v>-23.322287000000003</v>
      </c>
    </row>
    <row r="60" spans="1:4" x14ac:dyDescent="0.35">
      <c r="A60" t="s">
        <v>20</v>
      </c>
      <c r="B60">
        <f>D59/A59</f>
        <v>-2.6175406285072955E-7</v>
      </c>
    </row>
    <row r="62" spans="1:4" x14ac:dyDescent="0.35">
      <c r="A62">
        <f>A56*B60</f>
        <v>-0.25913652222222228</v>
      </c>
      <c r="B62">
        <f>B56</f>
        <v>900</v>
      </c>
      <c r="C62">
        <v>0</v>
      </c>
      <c r="D62">
        <f>D56</f>
        <v>2.1424570000000003</v>
      </c>
    </row>
    <row r="63" spans="1:4" x14ac:dyDescent="0.35">
      <c r="A63" t="s">
        <v>21</v>
      </c>
      <c r="B63">
        <f>(D62-A62)/B62</f>
        <v>2.6684372469135804E-3</v>
      </c>
    </row>
    <row r="65" spans="1:4" x14ac:dyDescent="0.35">
      <c r="A65">
        <f>A52*B60</f>
        <v>-2.6175406285072955E-3</v>
      </c>
      <c r="B65">
        <f>B52*B63</f>
        <v>0.26684372469135803</v>
      </c>
      <c r="C65">
        <v>1</v>
      </c>
      <c r="D65">
        <f>D52</f>
        <v>27.813972</v>
      </c>
    </row>
    <row r="66" spans="1:4" x14ac:dyDescent="0.35">
      <c r="A66" t="s">
        <v>22</v>
      </c>
      <c r="B66">
        <f>D65-A65-B65</f>
        <v>27.549745815937147</v>
      </c>
    </row>
    <row r="68" spans="1:4" x14ac:dyDescent="0.35">
      <c r="A68" t="s">
        <v>23</v>
      </c>
      <c r="B68">
        <f>-B63/(2*B60)</f>
        <v>5097.2222128130052</v>
      </c>
      <c r="C68">
        <f>(B68*B68)*B60+B68*B63+B66</f>
        <v>34.350554620169888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A</vt:lpstr>
      <vt:lpstr>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Stromme</dc:creator>
  <cp:lastModifiedBy>Skylar Stromme</cp:lastModifiedBy>
  <dcterms:created xsi:type="dcterms:W3CDTF">2025-10-16T19:35:51Z</dcterms:created>
  <dcterms:modified xsi:type="dcterms:W3CDTF">2025-10-21T20:29:36Z</dcterms:modified>
</cp:coreProperties>
</file>