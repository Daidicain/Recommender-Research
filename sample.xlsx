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ewan-my.sharepoint.com/personal/strommes_mymacewan_ca/Documents/School/Recommender Research/Experiments/"/>
    </mc:Choice>
  </mc:AlternateContent>
  <xr:revisionPtr revIDLastSave="182" documentId="14_{EDBCF5D1-2D56-4F88-85A7-320B5ADCB030}" xr6:coauthVersionLast="47" xr6:coauthVersionMax="47" xr10:uidLastSave="{A24D7273-2313-4A3C-813C-AFD58A702EE1}"/>
  <bookViews>
    <workbookView xWindow="-110" yWindow="-110" windowWidth="19420" windowHeight="10300" xr2:uid="{3AAB6A4F-3CA0-4899-AA77-8B4534240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I13" i="1"/>
  <c r="J13" i="1"/>
  <c r="Q2" i="1"/>
  <c r="H4" i="1"/>
  <c r="I4" i="1" s="1"/>
  <c r="H12" i="1"/>
  <c r="J12" i="1" s="1"/>
  <c r="H11" i="1"/>
  <c r="I11" i="1" s="1"/>
  <c r="H9" i="1"/>
  <c r="I9" i="1" s="1"/>
  <c r="H10" i="1"/>
  <c r="J10" i="1" s="1"/>
  <c r="H8" i="1"/>
  <c r="J8" i="1" s="1"/>
  <c r="H7" i="1"/>
  <c r="J7" i="1" s="1"/>
  <c r="H6" i="1"/>
  <c r="J6" i="1" s="1"/>
  <c r="H5" i="1"/>
  <c r="I5" i="1" s="1"/>
  <c r="H3" i="1"/>
  <c r="I3" i="1" s="1"/>
  <c r="H2" i="1"/>
  <c r="I2" i="1" s="1"/>
  <c r="K13" i="1" l="1"/>
  <c r="P12" i="1" s="1"/>
  <c r="J4" i="1"/>
  <c r="K4" i="1" s="1"/>
  <c r="J11" i="1"/>
  <c r="K11" i="1" s="1"/>
  <c r="O12" i="1" s="1"/>
  <c r="I12" i="1"/>
  <c r="K12" i="1" s="1"/>
  <c r="I8" i="1"/>
  <c r="K8" i="1" s="1"/>
  <c r="O8" i="1" s="1"/>
  <c r="I6" i="1"/>
  <c r="K6" i="1" s="1"/>
  <c r="I10" i="1"/>
  <c r="K10" i="1" s="1"/>
  <c r="P8" i="1" s="1"/>
  <c r="J5" i="1"/>
  <c r="K5" i="1" s="1"/>
  <c r="O3" i="1" s="1"/>
  <c r="I7" i="1"/>
  <c r="K7" i="1" s="1"/>
  <c r="J9" i="1"/>
  <c r="K9" i="1" s="1"/>
  <c r="J2" i="1"/>
  <c r="K2" i="1" s="1"/>
  <c r="J3" i="1"/>
  <c r="K3" i="1" s="1"/>
  <c r="P7" i="1" l="1"/>
  <c r="P11" i="1"/>
  <c r="O7" i="1"/>
  <c r="O11" i="1"/>
  <c r="R11" i="1" s="1"/>
  <c r="S11" i="1" s="1"/>
  <c r="O2" i="1"/>
  <c r="R2" i="1" s="1"/>
  <c r="S2" i="1" s="1"/>
  <c r="R7" i="1" l="1"/>
  <c r="S7" i="1" s="1"/>
  <c r="W3" i="1" s="1"/>
  <c r="W2" i="1"/>
</calcChain>
</file>

<file path=xl/sharedStrings.xml><?xml version="1.0" encoding="utf-8"?>
<sst xmlns="http://schemas.openxmlformats.org/spreadsheetml/2006/main" count="45" uniqueCount="20">
  <si>
    <t>a</t>
  </si>
  <si>
    <t>b</t>
  </si>
  <si>
    <t>c</t>
  </si>
  <si>
    <t>user</t>
  </si>
  <si>
    <t>item</t>
  </si>
  <si>
    <t>rating</t>
  </si>
  <si>
    <t>ts</t>
  </si>
  <si>
    <t>short</t>
  </si>
  <si>
    <t>long</t>
  </si>
  <si>
    <t>a=</t>
  </si>
  <si>
    <t>b=</t>
  </si>
  <si>
    <t>days past</t>
  </si>
  <si>
    <t>most_recent_ts</t>
  </si>
  <si>
    <t>t_weight</t>
  </si>
  <si>
    <t>item 1 t_weight</t>
  </si>
  <si>
    <t>score</t>
  </si>
  <si>
    <t>d</t>
  </si>
  <si>
    <t>jaccard</t>
  </si>
  <si>
    <t>item 4 t_weight</t>
  </si>
  <si>
    <t>euclidean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</si>
</sst>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834D-6383-4880-855E-23B740D69BB5}">
  <dimension ref="A1:W13"/>
  <sheetViews>
    <sheetView tabSelected="1" zoomScale="76" workbookViewId="0">
      <selection activeCell="G10" sqref="G10"/>
    </sheetView>
  </sheetViews>
  <sheetFormatPr defaultRowHeight="14.5" x14ac:dyDescent="0.35"/>
  <cols>
    <col min="1" max="1" width="11.6328125" customWidth="1"/>
    <col min="15" max="16" width="14.54296875" customWidth="1"/>
    <col min="17" max="17" width="12.1796875" bestFit="1" customWidth="1"/>
    <col min="18" max="18" width="12.1796875" customWidth="1"/>
  </cols>
  <sheetData>
    <row r="1" spans="1:23" x14ac:dyDescent="0.35">
      <c r="A1" t="s">
        <v>9</v>
      </c>
      <c r="B1">
        <v>0.5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8</v>
      </c>
      <c r="K1" t="s">
        <v>13</v>
      </c>
      <c r="N1" t="s">
        <v>3</v>
      </c>
      <c r="O1" t="s">
        <v>14</v>
      </c>
      <c r="Q1" t="s">
        <v>17</v>
      </c>
      <c r="R1" t="s">
        <v>19</v>
      </c>
      <c r="V1" t="s">
        <v>4</v>
      </c>
      <c r="W1" t="s">
        <v>15</v>
      </c>
    </row>
    <row r="2" spans="1:23" x14ac:dyDescent="0.35">
      <c r="A2" t="s">
        <v>10</v>
      </c>
      <c r="B2">
        <v>0.1</v>
      </c>
      <c r="D2" t="s">
        <v>0</v>
      </c>
      <c r="E2">
        <v>1</v>
      </c>
      <c r="F2">
        <v>5</v>
      </c>
      <c r="G2">
        <v>9</v>
      </c>
      <c r="H2">
        <f>$B$3-G2</f>
        <v>0</v>
      </c>
      <c r="I2">
        <f>(1-$B$1)*(EXP(1)^(-$B$2*H2))</f>
        <v>0.5</v>
      </c>
      <c r="J2">
        <f>($B$1)*(1-(EXP(1)^(-$B$2*H2)))</f>
        <v>0</v>
      </c>
      <c r="K2">
        <f>(I2+J2)*F2</f>
        <v>2.5</v>
      </c>
      <c r="N2" t="s">
        <v>0</v>
      </c>
      <c r="O2">
        <f>K2</f>
        <v>2.5</v>
      </c>
      <c r="Q2">
        <f>1/4</f>
        <v>0.25</v>
      </c>
      <c r="R2">
        <f>SQRT((O2-O3)^2)</f>
        <v>0</v>
      </c>
      <c r="S2">
        <f>Q2*(EXP(1)^(-R2))</f>
        <v>0.25</v>
      </c>
      <c r="V2">
        <v>2</v>
      </c>
      <c r="W2">
        <f>S11+S2</f>
        <v>0.36156508007421495</v>
      </c>
    </row>
    <row r="3" spans="1:23" x14ac:dyDescent="0.35">
      <c r="A3" t="s">
        <v>12</v>
      </c>
      <c r="B3">
        <v>9</v>
      </c>
      <c r="D3" t="s">
        <v>0</v>
      </c>
      <c r="E3">
        <v>3</v>
      </c>
      <c r="F3">
        <v>5</v>
      </c>
      <c r="G3">
        <v>0</v>
      </c>
      <c r="H3">
        <f t="shared" ref="H3:H13" si="0">$B$3-G3</f>
        <v>9</v>
      </c>
      <c r="I3">
        <f t="shared" ref="I3:I13" si="1">(1-$B$1)*(EXP(1)^(-$B$2*H3))</f>
        <v>0.20328482987029953</v>
      </c>
      <c r="J3">
        <f t="shared" ref="J3:J13" si="2">($B$1)*(1-(EXP(1)^(-$B$2*H3)))</f>
        <v>0.2967151701297005</v>
      </c>
      <c r="K3">
        <f t="shared" ref="K3:K11" si="3">(I3+J3)*F3</f>
        <v>2.5</v>
      </c>
      <c r="N3" t="s">
        <v>1</v>
      </c>
      <c r="O3">
        <f>K5</f>
        <v>2.5</v>
      </c>
      <c r="V3">
        <v>3</v>
      </c>
      <c r="W3">
        <f>S7+S2</f>
        <v>0.3589739651172526</v>
      </c>
    </row>
    <row r="4" spans="1:23" x14ac:dyDescent="0.35">
      <c r="D4" t="s">
        <v>0</v>
      </c>
      <c r="E4">
        <v>4</v>
      </c>
      <c r="F4">
        <v>2</v>
      </c>
      <c r="G4">
        <v>5</v>
      </c>
      <c r="H4">
        <f t="shared" ref="H4" si="4">$B$3-G4</f>
        <v>4</v>
      </c>
      <c r="I4">
        <f t="shared" ref="I4" si="5">(1-$B$1)*(EXP(1)^(-$B$2*H4))</f>
        <v>0.33516002301781966</v>
      </c>
      <c r="J4">
        <f t="shared" ref="J4" si="6">($B$1)*(1-(EXP(1)^(-$B$2*H4)))</f>
        <v>0.16483997698218034</v>
      </c>
      <c r="K4">
        <f t="shared" ref="K4" si="7">(I4+J4)*F4</f>
        <v>1</v>
      </c>
    </row>
    <row r="5" spans="1:23" x14ac:dyDescent="0.35">
      <c r="D5" t="s">
        <v>1</v>
      </c>
      <c r="E5">
        <v>1</v>
      </c>
      <c r="F5">
        <v>5</v>
      </c>
      <c r="G5">
        <v>9</v>
      </c>
      <c r="H5">
        <f t="shared" si="0"/>
        <v>0</v>
      </c>
      <c r="I5">
        <f t="shared" si="1"/>
        <v>0.5</v>
      </c>
      <c r="J5">
        <f t="shared" si="2"/>
        <v>0</v>
      </c>
      <c r="K5">
        <f t="shared" si="3"/>
        <v>2.5</v>
      </c>
    </row>
    <row r="6" spans="1:23" x14ac:dyDescent="0.35">
      <c r="D6" t="s">
        <v>1</v>
      </c>
      <c r="E6">
        <v>2</v>
      </c>
      <c r="F6">
        <v>1</v>
      </c>
      <c r="G6">
        <v>1</v>
      </c>
      <c r="H6">
        <f t="shared" si="0"/>
        <v>8</v>
      </c>
      <c r="I6">
        <f t="shared" si="1"/>
        <v>0.22466448205861078</v>
      </c>
      <c r="J6">
        <f t="shared" si="2"/>
        <v>0.27533551794138922</v>
      </c>
      <c r="K6">
        <f t="shared" si="3"/>
        <v>0.5</v>
      </c>
      <c r="N6" t="s">
        <v>3</v>
      </c>
      <c r="O6" t="s">
        <v>14</v>
      </c>
      <c r="P6" t="s">
        <v>18</v>
      </c>
      <c r="Q6" t="s">
        <v>17</v>
      </c>
      <c r="R6" t="s">
        <v>19</v>
      </c>
    </row>
    <row r="7" spans="1:23" x14ac:dyDescent="0.35">
      <c r="D7" t="s">
        <v>1</v>
      </c>
      <c r="E7">
        <v>3</v>
      </c>
      <c r="F7">
        <v>4</v>
      </c>
      <c r="G7">
        <v>8</v>
      </c>
      <c r="H7">
        <f t="shared" si="0"/>
        <v>1</v>
      </c>
      <c r="I7">
        <f t="shared" si="1"/>
        <v>0.45241870901797976</v>
      </c>
      <c r="J7">
        <f t="shared" si="2"/>
        <v>4.7581290982020241E-2</v>
      </c>
      <c r="K7">
        <f t="shared" si="3"/>
        <v>2</v>
      </c>
      <c r="N7" t="s">
        <v>0</v>
      </c>
      <c r="O7">
        <f>K2</f>
        <v>2.5</v>
      </c>
      <c r="P7">
        <f>K4</f>
        <v>1</v>
      </c>
      <c r="Q7">
        <v>0.33333333333333331</v>
      </c>
      <c r="R7">
        <f>SQRT((O7-O8)^2+(P7-Q8)^2)</f>
        <v>1.1180339887498949</v>
      </c>
      <c r="S7">
        <f>Q7*(EXP(1)^(-R7))</f>
        <v>0.10897396511725262</v>
      </c>
    </row>
    <row r="8" spans="1:23" x14ac:dyDescent="0.35">
      <c r="D8" t="s">
        <v>2</v>
      </c>
      <c r="E8">
        <v>1</v>
      </c>
      <c r="F8">
        <v>4</v>
      </c>
      <c r="G8">
        <v>1</v>
      </c>
      <c r="H8">
        <f t="shared" si="0"/>
        <v>8</v>
      </c>
      <c r="I8">
        <f t="shared" si="1"/>
        <v>0.22466448205861078</v>
      </c>
      <c r="J8">
        <f t="shared" si="2"/>
        <v>0.27533551794138922</v>
      </c>
      <c r="K8">
        <f t="shared" si="3"/>
        <v>2</v>
      </c>
      <c r="N8" t="s">
        <v>2</v>
      </c>
      <c r="O8">
        <f>K8</f>
        <v>2</v>
      </c>
      <c r="P8">
        <f>K10</f>
        <v>2.5</v>
      </c>
    </row>
    <row r="9" spans="1:23" x14ac:dyDescent="0.35">
      <c r="D9" t="s">
        <v>2</v>
      </c>
      <c r="E9">
        <v>3</v>
      </c>
      <c r="F9">
        <v>5</v>
      </c>
      <c r="G9">
        <v>4</v>
      </c>
      <c r="H9">
        <f t="shared" si="0"/>
        <v>5</v>
      </c>
      <c r="I9">
        <f t="shared" si="1"/>
        <v>0.30326532985631671</v>
      </c>
      <c r="J9">
        <f t="shared" si="2"/>
        <v>0.19673467014368329</v>
      </c>
      <c r="K9">
        <f t="shared" si="3"/>
        <v>2.5</v>
      </c>
    </row>
    <row r="10" spans="1:23" x14ac:dyDescent="0.35">
      <c r="D10" t="s">
        <v>2</v>
      </c>
      <c r="E10">
        <v>4</v>
      </c>
      <c r="F10">
        <v>5</v>
      </c>
      <c r="G10">
        <v>1</v>
      </c>
      <c r="H10">
        <f t="shared" si="0"/>
        <v>8</v>
      </c>
      <c r="I10">
        <f t="shared" si="1"/>
        <v>0.22466448205861078</v>
      </c>
      <c r="J10">
        <f t="shared" si="2"/>
        <v>0.27533551794138922</v>
      </c>
      <c r="K10">
        <f t="shared" si="3"/>
        <v>2.5</v>
      </c>
      <c r="N10" t="s">
        <v>3</v>
      </c>
      <c r="O10" t="s">
        <v>14</v>
      </c>
      <c r="P10" t="s">
        <v>18</v>
      </c>
      <c r="Q10" t="s">
        <v>17</v>
      </c>
      <c r="R10" t="s">
        <v>19</v>
      </c>
    </row>
    <row r="11" spans="1:23" x14ac:dyDescent="0.35">
      <c r="D11" t="s">
        <v>16</v>
      </c>
      <c r="E11">
        <v>1</v>
      </c>
      <c r="F11">
        <v>2</v>
      </c>
      <c r="G11">
        <v>1</v>
      </c>
      <c r="H11">
        <f t="shared" si="0"/>
        <v>8</v>
      </c>
      <c r="I11">
        <f t="shared" si="1"/>
        <v>0.22466448205861078</v>
      </c>
      <c r="J11">
        <f t="shared" si="2"/>
        <v>0.27533551794138922</v>
      </c>
      <c r="K11">
        <f t="shared" si="3"/>
        <v>1</v>
      </c>
      <c r="N11" t="s">
        <v>0</v>
      </c>
      <c r="O11">
        <f>K2</f>
        <v>2.5</v>
      </c>
      <c r="P11">
        <f>K4</f>
        <v>1</v>
      </c>
      <c r="Q11">
        <v>0.5</v>
      </c>
      <c r="R11">
        <f>SQRT((O11-O12)^2)</f>
        <v>1.5</v>
      </c>
      <c r="S11">
        <f>Q11*(EXP(1)^(-R11))</f>
        <v>0.11156508007421492</v>
      </c>
    </row>
    <row r="12" spans="1:23" x14ac:dyDescent="0.35">
      <c r="D12" t="s">
        <v>16</v>
      </c>
      <c r="E12">
        <v>2</v>
      </c>
      <c r="F12">
        <v>5</v>
      </c>
      <c r="G12">
        <v>1</v>
      </c>
      <c r="H12">
        <f t="shared" si="0"/>
        <v>8</v>
      </c>
      <c r="I12">
        <f t="shared" si="1"/>
        <v>0.22466448205861078</v>
      </c>
      <c r="J12">
        <f t="shared" si="2"/>
        <v>0.27533551794138922</v>
      </c>
      <c r="K12">
        <f>(I12+J12)*F12</f>
        <v>2.5</v>
      </c>
      <c r="N12" t="s">
        <v>16</v>
      </c>
      <c r="O12">
        <f>K11</f>
        <v>1</v>
      </c>
      <c r="P12">
        <f>K13</f>
        <v>2</v>
      </c>
    </row>
    <row r="13" spans="1:23" x14ac:dyDescent="0.35">
      <c r="D13" t="s">
        <v>16</v>
      </c>
      <c r="E13">
        <v>4</v>
      </c>
      <c r="F13">
        <v>4</v>
      </c>
      <c r="G13">
        <v>1</v>
      </c>
      <c r="H13">
        <f t="shared" si="0"/>
        <v>8</v>
      </c>
      <c r="I13">
        <f t="shared" si="1"/>
        <v>0.22466448205861078</v>
      </c>
      <c r="J13">
        <f t="shared" si="2"/>
        <v>0.27533551794138922</v>
      </c>
      <c r="K13">
        <f>(I13+J13)*F13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Stromme</dc:creator>
  <cp:lastModifiedBy>Skylar Stromme</cp:lastModifiedBy>
  <dcterms:created xsi:type="dcterms:W3CDTF">2025-09-03T22:09:12Z</dcterms:created>
  <dcterms:modified xsi:type="dcterms:W3CDTF">2025-09-04T20:33:20Z</dcterms:modified>
</cp:coreProperties>
</file>